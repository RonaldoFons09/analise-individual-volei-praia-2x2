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analisar video\"/>
    </mc:Choice>
  </mc:AlternateContent>
  <xr:revisionPtr revIDLastSave="0" documentId="13_ncr:1_{9B2CC451-B45B-4D00-8541-5D4349250CB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ritérios" sheetId="1" r:id="rId1"/>
    <sheet name="Págin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2" l="1"/>
  <c r="G41" i="2" s="1"/>
  <c r="B41" i="2"/>
  <c r="F40" i="2"/>
  <c r="G40" i="2" s="1"/>
  <c r="E40" i="2"/>
  <c r="B40" i="2"/>
  <c r="E39" i="2"/>
  <c r="F39" i="2" s="1"/>
  <c r="G39" i="2" s="1"/>
  <c r="B39" i="2"/>
  <c r="G38" i="2"/>
  <c r="F38" i="2"/>
  <c r="E38" i="2"/>
  <c r="B38" i="2"/>
  <c r="F37" i="2"/>
  <c r="G37" i="2" s="1"/>
  <c r="E37" i="2"/>
  <c r="B37" i="2"/>
  <c r="E36" i="2"/>
  <c r="D36" i="2"/>
  <c r="F36" i="2" s="1"/>
  <c r="G36" i="2" s="1"/>
  <c r="B36" i="2"/>
  <c r="G35" i="2"/>
  <c r="B35" i="2"/>
  <c r="B34" i="2"/>
  <c r="F33" i="2"/>
  <c r="B33" i="2"/>
  <c r="F32" i="2"/>
  <c r="B32" i="2"/>
  <c r="E31" i="2"/>
  <c r="F31" i="2" s="1"/>
  <c r="G31" i="2" s="1"/>
  <c r="B31" i="2"/>
  <c r="G30" i="2"/>
  <c r="F30" i="2"/>
  <c r="E30" i="2"/>
  <c r="B30" i="2"/>
  <c r="F29" i="2"/>
  <c r="G29" i="2" s="1"/>
  <c r="E29" i="2"/>
  <c r="F28" i="2"/>
  <c r="G28" i="2" s="1"/>
  <c r="B28" i="2"/>
  <c r="F27" i="2"/>
  <c r="G27" i="2" s="1"/>
  <c r="E27" i="2"/>
  <c r="B27" i="2"/>
  <c r="E26" i="2"/>
  <c r="D23" i="2"/>
  <c r="B26" i="2"/>
  <c r="E25" i="2"/>
  <c r="F25" i="2" s="1"/>
  <c r="G25" i="2" s="1"/>
  <c r="B25" i="2"/>
  <c r="E24" i="2"/>
  <c r="E23" i="2" s="1"/>
  <c r="B24" i="2"/>
  <c r="B23" i="2"/>
  <c r="G22" i="2"/>
  <c r="B22" i="2"/>
  <c r="B21" i="2"/>
  <c r="F20" i="2"/>
  <c r="B20" i="2"/>
  <c r="F19" i="2"/>
  <c r="F18" i="2" s="1"/>
  <c r="G18" i="2" s="1"/>
  <c r="B19" i="2"/>
  <c r="E18" i="2"/>
  <c r="B18" i="2"/>
  <c r="E17" i="2"/>
  <c r="F17" i="2"/>
  <c r="G17" i="2" s="1"/>
  <c r="B17" i="2"/>
  <c r="E16" i="2"/>
  <c r="F16" i="2" s="1"/>
  <c r="G16" i="2" s="1"/>
  <c r="F15" i="2"/>
  <c r="G15" i="2" s="1"/>
  <c r="B15" i="2"/>
  <c r="A15" i="2"/>
  <c r="F14" i="2"/>
  <c r="G14" i="2" s="1"/>
  <c r="E14" i="2"/>
  <c r="B14" i="2"/>
  <c r="A14" i="2"/>
  <c r="E13" i="2"/>
  <c r="D13" i="2"/>
  <c r="F13" i="2" s="1"/>
  <c r="G13" i="2" s="1"/>
  <c r="B13" i="2"/>
  <c r="A13" i="2"/>
  <c r="F12" i="2"/>
  <c r="G12" i="2" s="1"/>
  <c r="E12" i="2"/>
  <c r="B12" i="2"/>
  <c r="A12" i="2"/>
  <c r="E11" i="2"/>
  <c r="E10" i="2" s="1"/>
  <c r="D11" i="2"/>
  <c r="B11" i="2"/>
  <c r="D10" i="2"/>
  <c r="F10" i="2" s="1"/>
  <c r="G10" i="2" s="1"/>
  <c r="B10" i="2"/>
  <c r="A10" i="2"/>
  <c r="G9" i="2"/>
  <c r="B9" i="2"/>
  <c r="A9" i="2"/>
  <c r="B8" i="2"/>
  <c r="A8" i="2"/>
  <c r="F7" i="2"/>
  <c r="E5" i="2" s="1"/>
  <c r="B7" i="2"/>
  <c r="A7" i="2"/>
  <c r="F6" i="2"/>
  <c r="D5" i="2" s="1"/>
  <c r="F5" i="2" s="1"/>
  <c r="G5" i="2" s="1"/>
  <c r="B6" i="2"/>
  <c r="A6" i="2"/>
  <c r="B5" i="2"/>
  <c r="A5" i="2"/>
  <c r="F4" i="2"/>
  <c r="G4" i="2" s="1"/>
  <c r="E4" i="2"/>
  <c r="D4" i="2"/>
  <c r="B4" i="2"/>
  <c r="A4" i="2"/>
  <c r="F3" i="2"/>
  <c r="G3" i="2" s="1"/>
  <c r="E3" i="2"/>
  <c r="D3" i="2"/>
  <c r="F23" i="2" l="1"/>
  <c r="G23" i="2" s="1"/>
  <c r="F26" i="2"/>
  <c r="G26" i="2" s="1"/>
  <c r="F24" i="2"/>
  <c r="G24" i="2" s="1"/>
  <c r="F11" i="2"/>
  <c r="G11" i="2" s="1"/>
</calcChain>
</file>

<file path=xl/sharedStrings.xml><?xml version="1.0" encoding="utf-8"?>
<sst xmlns="http://schemas.openxmlformats.org/spreadsheetml/2006/main" count="95" uniqueCount="37">
  <si>
    <t>O que é “certo” e “errado” (critério fixo)</t>
  </si>
  <si>
    <t>Defina regras imutáveis para cada fundamento.</t>
  </si>
  <si>
    <t>Recepção de saque</t>
  </si>
  <si>
    <t>✅ Certa: Sempre na zona de levanamento sempre proximo a rede e bola na frente</t>
  </si>
  <si>
    <t>❌ Errada: bola fora da da zona de levantamento</t>
  </si>
  <si>
    <t>Ataque</t>
  </si>
  <si>
    <t xml:space="preserve">✅ Certa: ponto direto </t>
  </si>
  <si>
    <t>❌ Errada: bola fora, bloqueio direto, bola recuperada do adversário</t>
  </si>
  <si>
    <t>Data</t>
  </si>
  <si>
    <t>Local</t>
  </si>
  <si>
    <t>Fundamentos</t>
  </si>
  <si>
    <t>Quantidade correta</t>
  </si>
  <si>
    <t>Quantidade errada</t>
  </si>
  <si>
    <t>Quantidade total</t>
  </si>
  <si>
    <t>Eficiencia de acerto em %</t>
  </si>
  <si>
    <t>Ipu - 88 beach club</t>
  </si>
  <si>
    <t>Saque</t>
  </si>
  <si>
    <t xml:space="preserve">Recepção de manchete de saque adversário </t>
  </si>
  <si>
    <t>Critério — Recepção de saque</t>
  </si>
  <si>
    <t>Levantamento</t>
  </si>
  <si>
    <t>Levantamento - Bom (não considere manchete)</t>
  </si>
  <si>
    <t>-</t>
  </si>
  <si>
    <t>Levantamento - Bola não permite ataque (Erro)</t>
  </si>
  <si>
    <t>Levantamento - Dois toque (Erro)</t>
  </si>
  <si>
    <t>Critério — Ataque</t>
  </si>
  <si>
    <t>Levantamento - Condução (Erro)</t>
  </si>
  <si>
    <t>Ataque - forte diagonal</t>
  </si>
  <si>
    <t>Ataque - forte paralela</t>
  </si>
  <si>
    <t>Critério — Levantamento</t>
  </si>
  <si>
    <t>Ataque - Pinga curta</t>
  </si>
  <si>
    <t>✅ Certa: Bola em altura adequada; Ataque possível (qualquer tipo); Atacante chega equilibrado</t>
  </si>
  <si>
    <t>Ataque - Pinga no fundo</t>
  </si>
  <si>
    <t>❌ Errada: Dois toques; Condução; Bola não permite ataque</t>
  </si>
  <si>
    <t>Ataque - Largada no meio</t>
  </si>
  <si>
    <t>Critério — Saque</t>
  </si>
  <si>
    <t>✅ Certa: Bola dentro da quadra adversária</t>
  </si>
  <si>
    <t>❌ Errada: Bola fora, bola na 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</si>
</sst>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b/>
      <sz val="14"/>
      <color theme="1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15"/>
      <color theme="1"/>
      <name val="Arial"/>
      <scheme val="minor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1" xfId="0" applyFont="1" applyBorder="1"/>
    <xf numFmtId="0" fontId="5" fillId="0" borderId="0" xfId="0" applyFont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6" fillId="0" borderId="0" xfId="0" applyFont="1"/>
    <xf numFmtId="0" fontId="7" fillId="0" borderId="0" xfId="0" applyFont="1" applyAlignment="1">
      <alignment horizontal="left"/>
    </xf>
    <xf numFmtId="0" fontId="8" fillId="2" borderId="7" xfId="0" applyFont="1" applyFill="1" applyBorder="1" applyAlignment="1">
      <alignment horizontal="left"/>
    </xf>
    <xf numFmtId="0" fontId="8" fillId="2" borderId="7" xfId="0" applyFont="1" applyFill="1" applyBorder="1"/>
    <xf numFmtId="14" fontId="6" fillId="2" borderId="7" xfId="0" applyNumberFormat="1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7" xfId="0" applyFont="1" applyFill="1" applyBorder="1"/>
    <xf numFmtId="164" fontId="6" fillId="0" borderId="7" xfId="0" applyNumberFormat="1" applyFont="1" applyBorder="1"/>
    <xf numFmtId="0" fontId="6" fillId="3" borderId="7" xfId="0" applyFont="1" applyFill="1" applyBorder="1"/>
    <xf numFmtId="0" fontId="6" fillId="3" borderId="7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center"/>
    </xf>
    <xf numFmtId="0" fontId="3" fillId="4" borderId="0" xfId="0" applyFont="1" applyFill="1"/>
    <xf numFmtId="0" fontId="6" fillId="5" borderId="7" xfId="0" applyFont="1" applyFill="1" applyBorder="1"/>
    <xf numFmtId="0" fontId="3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1" fillId="0" borderId="0" xfId="0" applyFont="1" applyAlignment="1">
      <alignment horizontal="left"/>
    </xf>
    <xf numFmtId="0" fontId="0" fillId="0" borderId="0" xfId="0"/>
    <xf numFmtId="0" fontId="3" fillId="0" borderId="11" xfId="0" applyFont="1" applyBorder="1"/>
    <xf numFmtId="0" fontId="4" fillId="0" borderId="12" xfId="0" applyFont="1" applyBorder="1"/>
    <xf numFmtId="0" fontId="3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7" fillId="2" borderId="4" xfId="0" applyFont="1" applyFill="1" applyBorder="1" applyAlignment="1">
      <alignment horizontal="left"/>
    </xf>
    <xf numFmtId="0" fontId="4" fillId="0" borderId="5" xfId="0" applyFont="1" applyBorder="1"/>
    <xf numFmtId="0" fontId="4" fillId="0" borderId="6" xfId="0" applyFont="1" applyBorder="1"/>
    <xf numFmtId="0" fontId="7" fillId="2" borderId="8" xfId="0" applyFont="1" applyFill="1" applyBorder="1" applyAlignment="1">
      <alignment horizontal="left"/>
    </xf>
    <xf numFmtId="0" fontId="3" fillId="2" borderId="4" xfId="0" applyFont="1" applyFill="1" applyBorder="1"/>
  </cellXfs>
  <cellStyles count="1">
    <cellStyle name="Normal" xfId="0" builtinId="0"/>
  </cellStyles>
  <dxfs count="18">
    <dxf>
      <fill>
        <patternFill patternType="solid">
          <fgColor rgb="FFFF9900"/>
          <bgColor rgb="FFFF9900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"/>
  <sheetViews>
    <sheetView workbookViewId="0"/>
  </sheetViews>
  <sheetFormatPr defaultColWidth="12.5703125" defaultRowHeight="15.75" customHeight="1" x14ac:dyDescent="0.2"/>
  <sheetData>
    <row r="1" spans="1:8" ht="15.75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15.75" customHeight="1" x14ac:dyDescent="0.3">
      <c r="A2" s="23" t="s">
        <v>1</v>
      </c>
      <c r="B2" s="24"/>
      <c r="C2" s="24"/>
      <c r="D2" s="24"/>
      <c r="E2" s="24"/>
      <c r="F2" s="24"/>
      <c r="G2" s="24"/>
      <c r="H2" s="24"/>
    </row>
    <row r="3" spans="1:8" ht="15.75" customHeight="1" x14ac:dyDescent="0.25">
      <c r="A3" s="1"/>
    </row>
    <row r="4" spans="1:8" ht="15.75" customHeight="1" x14ac:dyDescent="0.25">
      <c r="A4" s="1"/>
    </row>
    <row r="5" spans="1:8" ht="15.75" customHeight="1" x14ac:dyDescent="0.25">
      <c r="A5" s="1"/>
    </row>
    <row r="6" spans="1:8" ht="15.75" customHeight="1" x14ac:dyDescent="0.25">
      <c r="A6" s="20" t="s">
        <v>2</v>
      </c>
      <c r="B6" s="21"/>
      <c r="C6" s="21"/>
      <c r="D6" s="21"/>
      <c r="E6" s="22"/>
      <c r="F6" s="3"/>
      <c r="G6" s="3"/>
      <c r="H6" s="3"/>
    </row>
    <row r="7" spans="1:8" ht="15.75" customHeight="1" x14ac:dyDescent="0.25">
      <c r="A7" s="20" t="s">
        <v>3</v>
      </c>
      <c r="B7" s="21"/>
      <c r="C7" s="21"/>
      <c r="D7" s="21"/>
      <c r="E7" s="21"/>
      <c r="F7" s="21"/>
      <c r="G7" s="21"/>
      <c r="H7" s="22"/>
    </row>
    <row r="8" spans="1:8" ht="15.75" customHeight="1" x14ac:dyDescent="0.25">
      <c r="A8" s="20" t="s">
        <v>4</v>
      </c>
      <c r="B8" s="21"/>
      <c r="C8" s="21"/>
      <c r="D8" s="21"/>
      <c r="E8" s="21"/>
      <c r="F8" s="21"/>
      <c r="G8" s="21"/>
      <c r="H8" s="22"/>
    </row>
    <row r="9" spans="1:8" ht="15.75" customHeight="1" x14ac:dyDescent="0.25">
      <c r="A9" s="4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20" t="s">
        <v>5</v>
      </c>
      <c r="B10" s="21"/>
      <c r="C10" s="21"/>
      <c r="D10" s="21"/>
      <c r="E10" s="21"/>
      <c r="F10" s="21"/>
      <c r="G10" s="21"/>
      <c r="H10" s="22"/>
    </row>
    <row r="11" spans="1:8" ht="15.75" customHeight="1" x14ac:dyDescent="0.25">
      <c r="A11" s="2" t="s">
        <v>6</v>
      </c>
      <c r="B11" s="5"/>
      <c r="C11" s="5"/>
      <c r="D11" s="5"/>
      <c r="E11" s="5"/>
      <c r="F11" s="5"/>
      <c r="G11" s="5"/>
      <c r="H11" s="6"/>
    </row>
    <row r="12" spans="1:8" ht="15.75" customHeight="1" x14ac:dyDescent="0.25">
      <c r="A12" s="2" t="s">
        <v>7</v>
      </c>
      <c r="B12" s="5"/>
      <c r="C12" s="5"/>
      <c r="D12" s="5"/>
      <c r="E12" s="5"/>
      <c r="F12" s="5"/>
      <c r="G12" s="5"/>
      <c r="H12" s="6"/>
    </row>
    <row r="13" spans="1:8" ht="15.75" customHeight="1" x14ac:dyDescent="0.25">
      <c r="A13" s="1"/>
    </row>
  </sheetData>
  <mergeCells count="6">
    <mergeCell ref="A10:H10"/>
    <mergeCell ref="A1:H1"/>
    <mergeCell ref="A2:H2"/>
    <mergeCell ref="A6:E6"/>
    <mergeCell ref="A7:H7"/>
    <mergeCell ref="A8:H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41"/>
  <sheetViews>
    <sheetView tabSelected="1" topLeftCell="A13" workbookViewId="0">
      <selection activeCell="D41" sqref="D41"/>
    </sheetView>
  </sheetViews>
  <sheetFormatPr defaultColWidth="12.5703125" defaultRowHeight="15.75" customHeight="1" x14ac:dyDescent="0.2"/>
  <cols>
    <col min="1" max="1" width="12.28515625" customWidth="1"/>
    <col min="2" max="2" width="17" customWidth="1"/>
    <col min="3" max="3" width="51.28515625" customWidth="1"/>
    <col min="4" max="4" width="17.42578125" customWidth="1"/>
    <col min="5" max="5" width="18" customWidth="1"/>
    <col min="6" max="6" width="17.140625" customWidth="1"/>
    <col min="7" max="7" width="21.42578125" customWidth="1"/>
  </cols>
  <sheetData>
    <row r="1" spans="1:16" ht="15.75" customHeight="1" x14ac:dyDescent="0.3">
      <c r="D1" s="7"/>
      <c r="E1" s="7"/>
      <c r="F1" s="7"/>
      <c r="G1" s="7"/>
      <c r="I1" s="30" t="s">
        <v>0</v>
      </c>
      <c r="J1" s="31"/>
      <c r="K1" s="31"/>
      <c r="L1" s="31"/>
      <c r="M1" s="32"/>
      <c r="N1" s="8"/>
      <c r="O1" s="8"/>
      <c r="P1" s="8"/>
    </row>
    <row r="2" spans="1:16" ht="15.75" customHeight="1" x14ac:dyDescent="0.3">
      <c r="A2" s="9" t="s">
        <v>8</v>
      </c>
      <c r="B2" s="9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I2" s="33" t="s">
        <v>1</v>
      </c>
      <c r="J2" s="28"/>
      <c r="K2" s="28"/>
      <c r="L2" s="28"/>
      <c r="M2" s="29"/>
      <c r="N2" s="8"/>
      <c r="O2" s="8"/>
      <c r="P2" s="8"/>
    </row>
    <row r="3" spans="1:16" ht="12.75" x14ac:dyDescent="0.2">
      <c r="A3" s="11">
        <v>45667</v>
      </c>
      <c r="B3" s="12" t="s">
        <v>15</v>
      </c>
      <c r="C3" s="13" t="s">
        <v>16</v>
      </c>
      <c r="D3" s="13">
        <f>1+1+1+1+1+1+1+1+1</f>
        <v>9</v>
      </c>
      <c r="E3" s="13">
        <f>1+1+1</f>
        <v>3</v>
      </c>
      <c r="F3" s="13">
        <f t="shared" ref="F3:F5" si="0">SUM(D3:E3)</f>
        <v>12</v>
      </c>
      <c r="G3" s="14">
        <f t="shared" ref="G3:G5" si="1">IF(F3=0,0,D3/F3)</f>
        <v>0.75</v>
      </c>
    </row>
    <row r="4" spans="1:16" ht="15.75" customHeight="1" x14ac:dyDescent="0.25">
      <c r="A4" s="11">
        <f t="shared" ref="A4:A28" si="2">$A$3</f>
        <v>45667</v>
      </c>
      <c r="B4" s="12" t="str">
        <f t="shared" ref="B4:B41" si="3">$B$3</f>
        <v>Ipu - 88 beach club</v>
      </c>
      <c r="C4" s="13" t="s">
        <v>17</v>
      </c>
      <c r="D4" s="13">
        <f>1+1+1+1+1+1+1+1+1+1+1</f>
        <v>11</v>
      </c>
      <c r="E4" s="13">
        <f>1+1+1+1</f>
        <v>4</v>
      </c>
      <c r="F4" s="13">
        <f t="shared" si="0"/>
        <v>15</v>
      </c>
      <c r="G4" s="14">
        <f t="shared" si="1"/>
        <v>0.73333333333333328</v>
      </c>
      <c r="I4" s="34" t="s">
        <v>18</v>
      </c>
      <c r="J4" s="31"/>
      <c r="K4" s="31"/>
      <c r="L4" s="31"/>
      <c r="M4" s="31"/>
      <c r="N4" s="31"/>
      <c r="O4" s="32"/>
      <c r="P4" s="3"/>
    </row>
    <row r="5" spans="1:16" ht="15.75" customHeight="1" x14ac:dyDescent="0.25">
      <c r="A5" s="11">
        <f t="shared" si="2"/>
        <v>45667</v>
      </c>
      <c r="B5" s="12" t="str">
        <f t="shared" si="3"/>
        <v>Ipu - 88 beach club</v>
      </c>
      <c r="C5" s="15" t="s">
        <v>19</v>
      </c>
      <c r="D5" s="16">
        <f>F6</f>
        <v>5</v>
      </c>
      <c r="E5" s="16">
        <f>F7+F8+F9</f>
        <v>3</v>
      </c>
      <c r="F5" s="15">
        <f t="shared" si="0"/>
        <v>8</v>
      </c>
      <c r="G5" s="14">
        <f t="shared" si="1"/>
        <v>0.625</v>
      </c>
      <c r="I5" s="25" t="s">
        <v>3</v>
      </c>
      <c r="J5" s="24"/>
      <c r="K5" s="24"/>
      <c r="L5" s="24"/>
      <c r="M5" s="24"/>
      <c r="N5" s="24"/>
      <c r="O5" s="26"/>
      <c r="P5" s="4"/>
    </row>
    <row r="6" spans="1:16" ht="15.75" customHeight="1" x14ac:dyDescent="0.25">
      <c r="A6" s="11">
        <f t="shared" si="2"/>
        <v>45667</v>
      </c>
      <c r="B6" s="12" t="str">
        <f t="shared" si="3"/>
        <v>Ipu - 88 beach club</v>
      </c>
      <c r="C6" s="15" t="s">
        <v>20</v>
      </c>
      <c r="D6" s="17" t="s">
        <v>21</v>
      </c>
      <c r="E6" s="17" t="s">
        <v>21</v>
      </c>
      <c r="F6" s="15">
        <f>1+1+1+1+1</f>
        <v>5</v>
      </c>
      <c r="G6" s="14"/>
      <c r="I6" s="27" t="s">
        <v>4</v>
      </c>
      <c r="J6" s="28"/>
      <c r="K6" s="28"/>
      <c r="L6" s="28"/>
      <c r="M6" s="28"/>
      <c r="N6" s="28"/>
      <c r="O6" s="29"/>
      <c r="P6" s="4"/>
    </row>
    <row r="7" spans="1:16" ht="15.75" customHeight="1" x14ac:dyDescent="0.25">
      <c r="A7" s="11">
        <f t="shared" si="2"/>
        <v>45667</v>
      </c>
      <c r="B7" s="12" t="str">
        <f t="shared" si="3"/>
        <v>Ipu - 88 beach club</v>
      </c>
      <c r="C7" s="15" t="s">
        <v>22</v>
      </c>
      <c r="D7" s="17" t="s">
        <v>21</v>
      </c>
      <c r="E7" s="17" t="s">
        <v>21</v>
      </c>
      <c r="F7" s="15">
        <f>1+1</f>
        <v>2</v>
      </c>
      <c r="G7" s="14"/>
      <c r="I7" s="4"/>
      <c r="J7" s="3"/>
      <c r="K7" s="3"/>
      <c r="L7" s="3"/>
      <c r="M7" s="3"/>
      <c r="N7" s="3"/>
      <c r="O7" s="3"/>
      <c r="P7" s="3"/>
    </row>
    <row r="8" spans="1:16" ht="15.75" customHeight="1" x14ac:dyDescent="0.25">
      <c r="A8" s="11">
        <f t="shared" si="2"/>
        <v>45667</v>
      </c>
      <c r="B8" s="12" t="str">
        <f t="shared" si="3"/>
        <v>Ipu - 88 beach club</v>
      </c>
      <c r="C8" s="15" t="s">
        <v>23</v>
      </c>
      <c r="D8" s="17" t="s">
        <v>21</v>
      </c>
      <c r="E8" s="17" t="s">
        <v>21</v>
      </c>
      <c r="F8" s="15">
        <v>1</v>
      </c>
      <c r="G8" s="14"/>
      <c r="I8" s="34" t="s">
        <v>24</v>
      </c>
      <c r="J8" s="31"/>
      <c r="K8" s="31"/>
      <c r="L8" s="31"/>
      <c r="M8" s="31"/>
      <c r="N8" s="31"/>
      <c r="O8" s="32"/>
      <c r="P8" s="18"/>
    </row>
    <row r="9" spans="1:16" ht="15.75" customHeight="1" x14ac:dyDescent="0.25">
      <c r="A9" s="11">
        <f t="shared" si="2"/>
        <v>45667</v>
      </c>
      <c r="B9" s="12" t="str">
        <f t="shared" si="3"/>
        <v>Ipu - 88 beach club</v>
      </c>
      <c r="C9" s="15" t="s">
        <v>25</v>
      </c>
      <c r="D9" s="17" t="s">
        <v>21</v>
      </c>
      <c r="E9" s="17" t="s">
        <v>21</v>
      </c>
      <c r="F9" s="15"/>
      <c r="G9" s="14">
        <f t="shared" ref="G9:G18" si="4">IF(F9=0,0,D9/F9)</f>
        <v>0</v>
      </c>
      <c r="I9" s="25" t="s">
        <v>6</v>
      </c>
      <c r="J9" s="24"/>
      <c r="K9" s="24"/>
      <c r="L9" s="24"/>
      <c r="M9" s="24"/>
      <c r="N9" s="24"/>
      <c r="O9" s="26"/>
      <c r="P9" s="4"/>
    </row>
    <row r="10" spans="1:16" ht="15.75" customHeight="1" x14ac:dyDescent="0.25">
      <c r="A10" s="11">
        <f t="shared" si="2"/>
        <v>45667</v>
      </c>
      <c r="B10" s="12" t="str">
        <f t="shared" si="3"/>
        <v>Ipu - 88 beach club</v>
      </c>
      <c r="C10" s="19" t="s">
        <v>5</v>
      </c>
      <c r="D10" s="19">
        <f t="shared" ref="D10:E10" si="5">SUM(D11:D15)</f>
        <v>10</v>
      </c>
      <c r="E10" s="19">
        <f t="shared" si="5"/>
        <v>7</v>
      </c>
      <c r="F10" s="19">
        <f t="shared" ref="F10:F15" si="6">SUM(D10:E10)</f>
        <v>17</v>
      </c>
      <c r="G10" s="14">
        <f t="shared" si="4"/>
        <v>0.58823529411764708</v>
      </c>
      <c r="I10" s="27" t="s">
        <v>7</v>
      </c>
      <c r="J10" s="28"/>
      <c r="K10" s="28"/>
      <c r="L10" s="28"/>
      <c r="M10" s="28"/>
      <c r="N10" s="28"/>
      <c r="O10" s="29"/>
      <c r="P10" s="4"/>
    </row>
    <row r="11" spans="1:16" ht="12.75" x14ac:dyDescent="0.2">
      <c r="A11" s="11">
        <v>45667</v>
      </c>
      <c r="B11" s="12" t="str">
        <f t="shared" si="3"/>
        <v>Ipu - 88 beach club</v>
      </c>
      <c r="C11" s="19" t="s">
        <v>26</v>
      </c>
      <c r="D11" s="19">
        <f>1+1+1+1+1</f>
        <v>5</v>
      </c>
      <c r="E11" s="19">
        <f>1+1+1</f>
        <v>3</v>
      </c>
      <c r="F11" s="19">
        <f t="shared" si="6"/>
        <v>8</v>
      </c>
      <c r="G11" s="14">
        <f t="shared" si="4"/>
        <v>0.625</v>
      </c>
    </row>
    <row r="12" spans="1:16" ht="15.75" customHeight="1" x14ac:dyDescent="0.25">
      <c r="A12" s="11">
        <f t="shared" si="2"/>
        <v>45667</v>
      </c>
      <c r="B12" s="12" t="str">
        <f t="shared" si="3"/>
        <v>Ipu - 88 beach club</v>
      </c>
      <c r="C12" s="19" t="s">
        <v>27</v>
      </c>
      <c r="D12" s="19">
        <v>1</v>
      </c>
      <c r="E12" s="19">
        <f t="shared" ref="E12:E13" si="7">1</f>
        <v>1</v>
      </c>
      <c r="F12" s="19">
        <f t="shared" si="6"/>
        <v>2</v>
      </c>
      <c r="G12" s="14">
        <f t="shared" si="4"/>
        <v>0.5</v>
      </c>
      <c r="I12" s="34" t="s">
        <v>28</v>
      </c>
      <c r="J12" s="31"/>
      <c r="K12" s="31"/>
      <c r="L12" s="31"/>
      <c r="M12" s="31"/>
      <c r="N12" s="31"/>
      <c r="O12" s="32"/>
    </row>
    <row r="13" spans="1:16" ht="15.75" customHeight="1" x14ac:dyDescent="0.25">
      <c r="A13" s="11">
        <f t="shared" si="2"/>
        <v>45667</v>
      </c>
      <c r="B13" s="12" t="str">
        <f t="shared" si="3"/>
        <v>Ipu - 88 beach club</v>
      </c>
      <c r="C13" s="19" t="s">
        <v>29</v>
      </c>
      <c r="D13" s="19">
        <f>1+1+1</f>
        <v>3</v>
      </c>
      <c r="E13" s="19">
        <f t="shared" si="7"/>
        <v>1</v>
      </c>
      <c r="F13" s="19">
        <f t="shared" si="6"/>
        <v>4</v>
      </c>
      <c r="G13" s="14">
        <f t="shared" si="4"/>
        <v>0.75</v>
      </c>
      <c r="I13" s="25" t="s">
        <v>30</v>
      </c>
      <c r="J13" s="24"/>
      <c r="K13" s="24"/>
      <c r="L13" s="24"/>
      <c r="M13" s="24"/>
      <c r="N13" s="24"/>
      <c r="O13" s="26"/>
    </row>
    <row r="14" spans="1:16" ht="15.75" customHeight="1" x14ac:dyDescent="0.25">
      <c r="A14" s="11">
        <f t="shared" si="2"/>
        <v>45667</v>
      </c>
      <c r="B14" s="12" t="str">
        <f t="shared" si="3"/>
        <v>Ipu - 88 beach club</v>
      </c>
      <c r="C14" s="19" t="s">
        <v>31</v>
      </c>
      <c r="D14" s="19">
        <v>1</v>
      </c>
      <c r="E14" s="19">
        <f>1+1</f>
        <v>2</v>
      </c>
      <c r="F14" s="19">
        <f t="shared" si="6"/>
        <v>3</v>
      </c>
      <c r="G14" s="14">
        <f t="shared" si="4"/>
        <v>0.33333333333333331</v>
      </c>
      <c r="I14" s="27" t="s">
        <v>32</v>
      </c>
      <c r="J14" s="28"/>
      <c r="K14" s="28"/>
      <c r="L14" s="28"/>
      <c r="M14" s="28"/>
      <c r="N14" s="28"/>
      <c r="O14" s="29"/>
    </row>
    <row r="15" spans="1:16" ht="12.75" x14ac:dyDescent="0.2">
      <c r="A15" s="11">
        <f t="shared" si="2"/>
        <v>45667</v>
      </c>
      <c r="B15" s="12" t="str">
        <f t="shared" si="3"/>
        <v>Ipu - 88 beach club</v>
      </c>
      <c r="C15" s="19" t="s">
        <v>33</v>
      </c>
      <c r="D15" s="19"/>
      <c r="E15" s="19"/>
      <c r="F15" s="19">
        <f t="shared" si="6"/>
        <v>0</v>
      </c>
      <c r="G15" s="14">
        <f t="shared" si="4"/>
        <v>0</v>
      </c>
    </row>
    <row r="16" spans="1:16" ht="15.75" customHeight="1" x14ac:dyDescent="0.25">
      <c r="A16" s="11">
        <v>45669</v>
      </c>
      <c r="B16" s="12" t="s">
        <v>15</v>
      </c>
      <c r="C16" s="13" t="s">
        <v>16</v>
      </c>
      <c r="D16" s="13">
        <v>13</v>
      </c>
      <c r="E16" s="13">
        <f>1+1+1</f>
        <v>3</v>
      </c>
      <c r="F16" s="13">
        <f t="shared" ref="F16:F18" si="8">SUM(D16:E16)</f>
        <v>16</v>
      </c>
      <c r="G16" s="14">
        <f t="shared" si="4"/>
        <v>0.8125</v>
      </c>
      <c r="I16" s="34" t="s">
        <v>34</v>
      </c>
      <c r="J16" s="31"/>
      <c r="K16" s="31"/>
      <c r="L16" s="31"/>
      <c r="M16" s="31"/>
      <c r="N16" s="31"/>
      <c r="O16" s="32"/>
    </row>
    <row r="17" spans="1:15" ht="15.75" customHeight="1" x14ac:dyDescent="0.25">
      <c r="A17" s="11">
        <v>45669</v>
      </c>
      <c r="B17" s="12" t="str">
        <f t="shared" si="3"/>
        <v>Ipu - 88 beach club</v>
      </c>
      <c r="C17" s="13" t="s">
        <v>17</v>
      </c>
      <c r="D17" s="13">
        <v>15</v>
      </c>
      <c r="E17" s="13">
        <f>1+1+1+1</f>
        <v>4</v>
      </c>
      <c r="F17" s="13">
        <f t="shared" si="8"/>
        <v>19</v>
      </c>
      <c r="G17" s="14">
        <f t="shared" si="4"/>
        <v>0.78947368421052633</v>
      </c>
      <c r="I17" s="25" t="s">
        <v>35</v>
      </c>
      <c r="J17" s="24"/>
      <c r="K17" s="24"/>
      <c r="L17" s="24"/>
      <c r="M17" s="24"/>
      <c r="N17" s="24"/>
      <c r="O17" s="26"/>
    </row>
    <row r="18" spans="1:15" ht="15.75" customHeight="1" x14ac:dyDescent="0.25">
      <c r="A18" s="11">
        <v>45669</v>
      </c>
      <c r="B18" s="12" t="str">
        <f t="shared" si="3"/>
        <v>Ipu - 88 beach club</v>
      </c>
      <c r="C18" s="15" t="s">
        <v>19</v>
      </c>
      <c r="D18" s="16">
        <v>9</v>
      </c>
      <c r="E18" s="16">
        <f>F20+F21+F22</f>
        <v>3</v>
      </c>
      <c r="F18" s="15">
        <f t="shared" si="8"/>
        <v>12</v>
      </c>
      <c r="G18" s="14">
        <f t="shared" si="4"/>
        <v>0.75</v>
      </c>
      <c r="I18" s="27" t="s">
        <v>36</v>
      </c>
      <c r="J18" s="28"/>
      <c r="K18" s="28"/>
      <c r="L18" s="28"/>
      <c r="M18" s="28"/>
      <c r="N18" s="28"/>
      <c r="O18" s="29"/>
    </row>
    <row r="19" spans="1:15" ht="15" x14ac:dyDescent="0.25">
      <c r="A19" s="11">
        <v>45669</v>
      </c>
      <c r="B19" s="12" t="str">
        <f t="shared" si="3"/>
        <v>Ipu - 88 beach club</v>
      </c>
      <c r="C19" s="15" t="s">
        <v>20</v>
      </c>
      <c r="D19" s="17" t="s">
        <v>21</v>
      </c>
      <c r="E19" s="17" t="s">
        <v>21</v>
      </c>
      <c r="F19" s="15">
        <f>1+1+1+1+1</f>
        <v>5</v>
      </c>
      <c r="G19" s="14"/>
    </row>
    <row r="20" spans="1:15" ht="15" x14ac:dyDescent="0.25">
      <c r="A20" s="11">
        <v>45669</v>
      </c>
      <c r="B20" s="12" t="str">
        <f t="shared" si="3"/>
        <v>Ipu - 88 beach club</v>
      </c>
      <c r="C20" s="15" t="s">
        <v>22</v>
      </c>
      <c r="D20" s="17" t="s">
        <v>21</v>
      </c>
      <c r="E20" s="17" t="s">
        <v>21</v>
      </c>
      <c r="F20" s="15">
        <f>1+1</f>
        <v>2</v>
      </c>
      <c r="G20" s="14"/>
    </row>
    <row r="21" spans="1:15" ht="15" x14ac:dyDescent="0.25">
      <c r="A21" s="11">
        <v>45669</v>
      </c>
      <c r="B21" s="12" t="str">
        <f t="shared" si="3"/>
        <v>Ipu - 88 beach club</v>
      </c>
      <c r="C21" s="15" t="s">
        <v>23</v>
      </c>
      <c r="D21" s="17" t="s">
        <v>21</v>
      </c>
      <c r="E21" s="17" t="s">
        <v>21</v>
      </c>
      <c r="F21" s="15">
        <v>1</v>
      </c>
      <c r="G21" s="14"/>
    </row>
    <row r="22" spans="1:15" ht="15" x14ac:dyDescent="0.25">
      <c r="A22" s="11">
        <v>45669</v>
      </c>
      <c r="B22" s="12" t="str">
        <f t="shared" si="3"/>
        <v>Ipu - 88 beach club</v>
      </c>
      <c r="C22" s="15" t="s">
        <v>25</v>
      </c>
      <c r="D22" s="17" t="s">
        <v>21</v>
      </c>
      <c r="E22" s="17" t="s">
        <v>21</v>
      </c>
      <c r="F22" s="15"/>
      <c r="G22" s="14">
        <f t="shared" ref="G22:G31" si="9">IF(F22=0,0,D22/F22)</f>
        <v>0</v>
      </c>
    </row>
    <row r="23" spans="1:15" ht="12.75" x14ac:dyDescent="0.2">
      <c r="A23" s="11">
        <v>45669</v>
      </c>
      <c r="B23" s="12" t="str">
        <f t="shared" si="3"/>
        <v>Ipu - 88 beach club</v>
      </c>
      <c r="C23" s="19" t="s">
        <v>5</v>
      </c>
      <c r="D23" s="19">
        <f t="shared" ref="D23:E23" si="10">SUM(D24:D28)</f>
        <v>8</v>
      </c>
      <c r="E23" s="19">
        <f t="shared" si="10"/>
        <v>7</v>
      </c>
      <c r="F23" s="19">
        <f t="shared" ref="F23:F28" si="11">SUM(D23:E23)</f>
        <v>15</v>
      </c>
      <c r="G23" s="14">
        <f t="shared" si="9"/>
        <v>0.53333333333333333</v>
      </c>
    </row>
    <row r="24" spans="1:15" ht="12.75" x14ac:dyDescent="0.2">
      <c r="A24" s="11">
        <v>45669</v>
      </c>
      <c r="B24" s="12" t="str">
        <f t="shared" si="3"/>
        <v>Ipu - 88 beach club</v>
      </c>
      <c r="C24" s="19" t="s">
        <v>26</v>
      </c>
      <c r="D24" s="19">
        <v>4</v>
      </c>
      <c r="E24" s="19">
        <f>1+1+1</f>
        <v>3</v>
      </c>
      <c r="F24" s="19">
        <f t="shared" si="11"/>
        <v>7</v>
      </c>
      <c r="G24" s="14">
        <f t="shared" si="9"/>
        <v>0.5714285714285714</v>
      </c>
    </row>
    <row r="25" spans="1:15" ht="12.75" x14ac:dyDescent="0.2">
      <c r="A25" s="11">
        <v>45669</v>
      </c>
      <c r="B25" s="12" t="str">
        <f t="shared" si="3"/>
        <v>Ipu - 88 beach club</v>
      </c>
      <c r="C25" s="19" t="s">
        <v>27</v>
      </c>
      <c r="D25" s="19">
        <v>1</v>
      </c>
      <c r="E25" s="19">
        <f t="shared" ref="E25:E26" si="12">1</f>
        <v>1</v>
      </c>
      <c r="F25" s="19">
        <f t="shared" si="11"/>
        <v>2</v>
      </c>
      <c r="G25" s="14">
        <f t="shared" si="9"/>
        <v>0.5</v>
      </c>
    </row>
    <row r="26" spans="1:15" ht="12.75" x14ac:dyDescent="0.2">
      <c r="A26" s="11">
        <v>45669</v>
      </c>
      <c r="B26" s="12" t="str">
        <f t="shared" si="3"/>
        <v>Ipu - 88 beach club</v>
      </c>
      <c r="C26" s="19" t="s">
        <v>29</v>
      </c>
      <c r="D26" s="19">
        <v>2</v>
      </c>
      <c r="E26" s="19">
        <f t="shared" si="12"/>
        <v>1</v>
      </c>
      <c r="F26" s="19">
        <f t="shared" si="11"/>
        <v>3</v>
      </c>
      <c r="G26" s="14">
        <f t="shared" si="9"/>
        <v>0.66666666666666663</v>
      </c>
    </row>
    <row r="27" spans="1:15" ht="12.75" x14ac:dyDescent="0.2">
      <c r="A27" s="11">
        <v>45669</v>
      </c>
      <c r="B27" s="12" t="str">
        <f t="shared" si="3"/>
        <v>Ipu - 88 beach club</v>
      </c>
      <c r="C27" s="19" t="s">
        <v>31</v>
      </c>
      <c r="D27" s="19">
        <v>1</v>
      </c>
      <c r="E27" s="19">
        <f>1+1</f>
        <v>2</v>
      </c>
      <c r="F27" s="19">
        <f t="shared" si="11"/>
        <v>3</v>
      </c>
      <c r="G27" s="14">
        <f t="shared" si="9"/>
        <v>0.33333333333333331</v>
      </c>
    </row>
    <row r="28" spans="1:15" ht="12.75" x14ac:dyDescent="0.2">
      <c r="A28" s="11">
        <v>45669</v>
      </c>
      <c r="B28" s="12" t="str">
        <f t="shared" si="3"/>
        <v>Ipu - 88 beach club</v>
      </c>
      <c r="C28" s="19" t="s">
        <v>33</v>
      </c>
      <c r="D28" s="19"/>
      <c r="E28" s="19"/>
      <c r="F28" s="19">
        <f t="shared" si="11"/>
        <v>0</v>
      </c>
      <c r="G28" s="14">
        <f t="shared" si="9"/>
        <v>0</v>
      </c>
    </row>
    <row r="29" spans="1:15" ht="12.75" x14ac:dyDescent="0.2">
      <c r="A29" s="11">
        <v>45672</v>
      </c>
      <c r="B29" s="12" t="s">
        <v>15</v>
      </c>
      <c r="C29" s="13" t="s">
        <v>16</v>
      </c>
      <c r="D29" s="13">
        <v>2</v>
      </c>
      <c r="E29" s="13">
        <f>1+1+1</f>
        <v>3</v>
      </c>
      <c r="F29" s="13">
        <f t="shared" ref="F29:F31" si="13">SUM(D29:E29)</f>
        <v>5</v>
      </c>
      <c r="G29" s="14">
        <f t="shared" si="9"/>
        <v>0.4</v>
      </c>
    </row>
    <row r="30" spans="1:15" ht="12.75" x14ac:dyDescent="0.2">
      <c r="A30" s="11">
        <v>45672</v>
      </c>
      <c r="B30" s="12" t="str">
        <f t="shared" si="3"/>
        <v>Ipu - 88 beach club</v>
      </c>
      <c r="C30" s="13" t="s">
        <v>17</v>
      </c>
      <c r="D30" s="13">
        <v>2</v>
      </c>
      <c r="E30" s="13">
        <f>1+1+1+1</f>
        <v>4</v>
      </c>
      <c r="F30" s="13">
        <f t="shared" si="13"/>
        <v>6</v>
      </c>
      <c r="G30" s="14">
        <f t="shared" si="9"/>
        <v>0.33333333333333331</v>
      </c>
    </row>
    <row r="31" spans="1:15" ht="12.75" x14ac:dyDescent="0.2">
      <c r="A31" s="11">
        <v>45672</v>
      </c>
      <c r="B31" s="12" t="str">
        <f t="shared" si="3"/>
        <v>Ipu - 88 beach club</v>
      </c>
      <c r="C31" s="15" t="s">
        <v>19</v>
      </c>
      <c r="D31" s="16">
        <v>2</v>
      </c>
      <c r="E31" s="16">
        <f>F33+F34+F35</f>
        <v>3</v>
      </c>
      <c r="F31" s="15">
        <f t="shared" si="13"/>
        <v>5</v>
      </c>
      <c r="G31" s="14">
        <f t="shared" si="9"/>
        <v>0.4</v>
      </c>
    </row>
    <row r="32" spans="1:15" ht="15" x14ac:dyDescent="0.25">
      <c r="A32" s="11">
        <v>45672</v>
      </c>
      <c r="B32" s="12" t="str">
        <f t="shared" si="3"/>
        <v>Ipu - 88 beach club</v>
      </c>
      <c r="C32" s="15" t="s">
        <v>20</v>
      </c>
      <c r="D32" s="17" t="s">
        <v>21</v>
      </c>
      <c r="E32" s="17" t="s">
        <v>21</v>
      </c>
      <c r="F32" s="15">
        <f>1+1+1+1+1</f>
        <v>5</v>
      </c>
      <c r="G32" s="14"/>
    </row>
    <row r="33" spans="1:7" ht="15" x14ac:dyDescent="0.25">
      <c r="A33" s="11">
        <v>45672</v>
      </c>
      <c r="B33" s="12" t="str">
        <f t="shared" si="3"/>
        <v>Ipu - 88 beach club</v>
      </c>
      <c r="C33" s="15" t="s">
        <v>22</v>
      </c>
      <c r="D33" s="17" t="s">
        <v>21</v>
      </c>
      <c r="E33" s="17" t="s">
        <v>21</v>
      </c>
      <c r="F33" s="15">
        <f>1+1</f>
        <v>2</v>
      </c>
      <c r="G33" s="14"/>
    </row>
    <row r="34" spans="1:7" ht="15" x14ac:dyDescent="0.25">
      <c r="A34" s="11">
        <v>45672</v>
      </c>
      <c r="B34" s="12" t="str">
        <f t="shared" si="3"/>
        <v>Ipu - 88 beach club</v>
      </c>
      <c r="C34" s="15" t="s">
        <v>23</v>
      </c>
      <c r="D34" s="17" t="s">
        <v>21</v>
      </c>
      <c r="E34" s="17" t="s">
        <v>21</v>
      </c>
      <c r="F34" s="15">
        <v>1</v>
      </c>
      <c r="G34" s="14"/>
    </row>
    <row r="35" spans="1:7" ht="15" x14ac:dyDescent="0.25">
      <c r="A35" s="11">
        <v>45672</v>
      </c>
      <c r="B35" s="12" t="str">
        <f t="shared" si="3"/>
        <v>Ipu - 88 beach club</v>
      </c>
      <c r="C35" s="15" t="s">
        <v>25</v>
      </c>
      <c r="D35" s="17" t="s">
        <v>21</v>
      </c>
      <c r="E35" s="17" t="s">
        <v>21</v>
      </c>
      <c r="F35" s="15"/>
      <c r="G35" s="14">
        <f t="shared" ref="G35:G41" si="14">IF(F35=0,0,D35/F35)</f>
        <v>0</v>
      </c>
    </row>
    <row r="36" spans="1:7" ht="12.75" x14ac:dyDescent="0.2">
      <c r="A36" s="11">
        <v>45672</v>
      </c>
      <c r="B36" s="12" t="str">
        <f t="shared" si="3"/>
        <v>Ipu - 88 beach club</v>
      </c>
      <c r="C36" s="19" t="s">
        <v>5</v>
      </c>
      <c r="D36" s="19">
        <f t="shared" ref="D36:E36" si="15">SUM(D37:D41)</f>
        <v>6</v>
      </c>
      <c r="E36" s="19">
        <f t="shared" si="15"/>
        <v>7</v>
      </c>
      <c r="F36" s="19">
        <f t="shared" ref="F36:F41" si="16">SUM(D36:E36)</f>
        <v>13</v>
      </c>
      <c r="G36" s="14">
        <f t="shared" si="14"/>
        <v>0.46153846153846156</v>
      </c>
    </row>
    <row r="37" spans="1:7" ht="12.75" x14ac:dyDescent="0.2">
      <c r="A37" s="11">
        <v>45672</v>
      </c>
      <c r="B37" s="12" t="str">
        <f t="shared" si="3"/>
        <v>Ipu - 88 beach club</v>
      </c>
      <c r="C37" s="19" t="s">
        <v>26</v>
      </c>
      <c r="D37" s="19">
        <v>2</v>
      </c>
      <c r="E37" s="19">
        <f>1+1+1</f>
        <v>3</v>
      </c>
      <c r="F37" s="19">
        <f t="shared" si="16"/>
        <v>5</v>
      </c>
      <c r="G37" s="14">
        <f t="shared" si="14"/>
        <v>0.4</v>
      </c>
    </row>
    <row r="38" spans="1:7" ht="12.75" x14ac:dyDescent="0.2">
      <c r="A38" s="11">
        <v>45672</v>
      </c>
      <c r="B38" s="12" t="str">
        <f t="shared" si="3"/>
        <v>Ipu - 88 beach club</v>
      </c>
      <c r="C38" s="19" t="s">
        <v>27</v>
      </c>
      <c r="D38" s="19">
        <v>1</v>
      </c>
      <c r="E38" s="19">
        <f t="shared" ref="E38:E39" si="17">1</f>
        <v>1</v>
      </c>
      <c r="F38" s="19">
        <f t="shared" si="16"/>
        <v>2</v>
      </c>
      <c r="G38" s="14">
        <f t="shared" si="14"/>
        <v>0.5</v>
      </c>
    </row>
    <row r="39" spans="1:7" ht="15.75" customHeight="1" x14ac:dyDescent="0.2">
      <c r="A39" s="11">
        <v>45672</v>
      </c>
      <c r="B39" s="12" t="str">
        <f t="shared" si="3"/>
        <v>Ipu - 88 beach club</v>
      </c>
      <c r="C39" s="19" t="s">
        <v>29</v>
      </c>
      <c r="D39" s="19">
        <v>2</v>
      </c>
      <c r="E39" s="19">
        <f t="shared" si="17"/>
        <v>1</v>
      </c>
      <c r="F39" s="19">
        <f t="shared" si="16"/>
        <v>3</v>
      </c>
      <c r="G39" s="14">
        <f t="shared" si="14"/>
        <v>0.66666666666666663</v>
      </c>
    </row>
    <row r="40" spans="1:7" ht="15.75" customHeight="1" x14ac:dyDescent="0.2">
      <c r="A40" s="11">
        <v>45672</v>
      </c>
      <c r="B40" s="12" t="str">
        <f t="shared" si="3"/>
        <v>Ipu - 88 beach club</v>
      </c>
      <c r="C40" s="19" t="s">
        <v>31</v>
      </c>
      <c r="D40" s="19">
        <v>1</v>
      </c>
      <c r="E40" s="19">
        <f>1+1</f>
        <v>2</v>
      </c>
      <c r="F40" s="19">
        <f t="shared" si="16"/>
        <v>3</v>
      </c>
      <c r="G40" s="14">
        <f t="shared" si="14"/>
        <v>0.33333333333333331</v>
      </c>
    </row>
    <row r="41" spans="1:7" ht="15.75" customHeight="1" x14ac:dyDescent="0.2">
      <c r="A41" s="11">
        <v>45672</v>
      </c>
      <c r="B41" s="12" t="str">
        <f t="shared" si="3"/>
        <v>Ipu - 88 beach club</v>
      </c>
      <c r="C41" s="19" t="s">
        <v>33</v>
      </c>
      <c r="D41" s="19"/>
      <c r="E41" s="19"/>
      <c r="F41" s="19">
        <f t="shared" si="16"/>
        <v>0</v>
      </c>
      <c r="G41" s="14">
        <f t="shared" si="14"/>
        <v>0</v>
      </c>
    </row>
  </sheetData>
  <mergeCells count="14">
    <mergeCell ref="I17:O17"/>
    <mergeCell ref="I18:O18"/>
    <mergeCell ref="I1:M1"/>
    <mergeCell ref="I2:M2"/>
    <mergeCell ref="I4:O4"/>
    <mergeCell ref="I5:O5"/>
    <mergeCell ref="I6:O6"/>
    <mergeCell ref="I8:O8"/>
    <mergeCell ref="I9:O9"/>
    <mergeCell ref="I10:O10"/>
    <mergeCell ref="I12:O12"/>
    <mergeCell ref="I13:O13"/>
    <mergeCell ref="I14:O14"/>
    <mergeCell ref="I16:O16"/>
  </mergeCells>
  <conditionalFormatting sqref="G3">
    <cfRule type="cellIs" dxfId="17" priority="15" operator="greaterThanOrEqual">
      <formula>80</formula>
    </cfRule>
  </conditionalFormatting>
  <conditionalFormatting sqref="G3:G4">
    <cfRule type="cellIs" dxfId="16" priority="18" operator="lessThan">
      <formula>75</formula>
    </cfRule>
  </conditionalFormatting>
  <conditionalFormatting sqref="G4">
    <cfRule type="cellIs" dxfId="15" priority="16" operator="greaterThanOrEqual">
      <formula>75</formula>
    </cfRule>
  </conditionalFormatting>
  <conditionalFormatting sqref="G5">
    <cfRule type="cellIs" dxfId="14" priority="13" operator="greaterThanOrEqual">
      <formula>80</formula>
    </cfRule>
  </conditionalFormatting>
  <conditionalFormatting sqref="G10">
    <cfRule type="cellIs" dxfId="13" priority="14" operator="greaterThanOrEqual">
      <formula>70</formula>
    </cfRule>
    <cfRule type="cellIs" dxfId="12" priority="17" operator="lessThan">
      <formula>69</formula>
    </cfRule>
  </conditionalFormatting>
  <conditionalFormatting sqref="G16">
    <cfRule type="cellIs" dxfId="11" priority="9" operator="greaterThanOrEqual">
      <formula>80</formula>
    </cfRule>
  </conditionalFormatting>
  <conditionalFormatting sqref="G16:G17">
    <cfRule type="cellIs" dxfId="10" priority="12" operator="lessThan">
      <formula>75</formula>
    </cfRule>
  </conditionalFormatting>
  <conditionalFormatting sqref="G17">
    <cfRule type="cellIs" dxfId="9" priority="10" operator="greaterThanOrEqual">
      <formula>75</formula>
    </cfRule>
  </conditionalFormatting>
  <conditionalFormatting sqref="G18">
    <cfRule type="cellIs" dxfId="8" priority="7" operator="greaterThanOrEqual">
      <formula>80</formula>
    </cfRule>
  </conditionalFormatting>
  <conditionalFormatting sqref="G23">
    <cfRule type="cellIs" dxfId="7" priority="8" operator="greaterThanOrEqual">
      <formula>70</formula>
    </cfRule>
    <cfRule type="cellIs" dxfId="6" priority="11" operator="lessThan">
      <formula>69</formula>
    </cfRule>
  </conditionalFormatting>
  <conditionalFormatting sqref="G29">
    <cfRule type="cellIs" dxfId="5" priority="3" operator="greaterThanOrEqual">
      <formula>80</formula>
    </cfRule>
  </conditionalFormatting>
  <conditionalFormatting sqref="G29:G30">
    <cfRule type="cellIs" dxfId="4" priority="6" operator="lessThan">
      <formula>75</formula>
    </cfRule>
  </conditionalFormatting>
  <conditionalFormatting sqref="G30">
    <cfRule type="cellIs" dxfId="3" priority="4" operator="greaterThanOrEqual">
      <formula>75</formula>
    </cfRule>
  </conditionalFormatting>
  <conditionalFormatting sqref="G31">
    <cfRule type="cellIs" dxfId="2" priority="1" operator="greaterThanOrEqual">
      <formula>80</formula>
    </cfRule>
  </conditionalFormatting>
  <conditionalFormatting sqref="G36">
    <cfRule type="cellIs" dxfId="1" priority="2" operator="greaterThanOrEqual">
      <formula>70</formula>
    </cfRule>
    <cfRule type="cellIs" dxfId="0" priority="5" operator="lessThan">
      <formula>69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Critérios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 Fonseca</cp:lastModifiedBy>
  <dcterms:modified xsi:type="dcterms:W3CDTF">2026-01-11T19:53:03Z</dcterms:modified>
</cp:coreProperties>
</file>